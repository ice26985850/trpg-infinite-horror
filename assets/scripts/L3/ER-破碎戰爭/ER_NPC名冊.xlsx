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空白模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d4a0ff"/>
      <sz val="11"/>
    </font>
    <font>
      <name val="Microsoft YaHei"/>
      <color rgb="00c8b8e8"/>
      <sz val="10"/>
    </font>
  </fonts>
  <fills count="4">
    <fill>
      <patternFill/>
    </fill>
    <fill>
      <patternFill patternType="gray125"/>
    </fill>
    <fill>
      <patternFill patternType="solid">
        <fgColor rgb="002a2a4e"/>
        <bgColor rgb="002a2a4e"/>
      </patternFill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>
        <color rgb="005a4a8e"/>
      </left>
      <right style="thin">
        <color rgb="005a4a8e"/>
      </right>
      <top style="thin">
        <color rgb="005a4a8e"/>
      </top>
      <bottom style="thin">
        <color rgb="005a4a8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t="inlineStr">
        <is>
          <t>（角色圖）</t>
        </is>
      </c>
      <c r="B2" t="inlineStr">
        <is>
          <t>魔法師瑟濂（Sellen）</t>
        </is>
      </c>
      <c r="C2" t="inlineStr">
        <is>
          <t>魔法師瑟濂（Sellen）</t>
        </is>
      </c>
      <c r="D2" t="inlineStr"/>
      <c r="E2" t="inlineStr">
        <is>
          <t>友善</t>
        </is>
      </c>
      <c r="F2" t="inlineStr">
        <is>
          <t>解救獲法術支援。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</cols>
  <sheetData>
    <row r="1">
      <c r="A1" s="1" t="inlineStr">
        <is>
          <t>角色圖</t>
        </is>
      </c>
      <c r="B1" s="1" t="inlineStr">
        <is>
          <t>NPC名稱</t>
        </is>
      </c>
      <c r="C1" s="1" t="inlineStr">
        <is>
          <t>電影原作角色</t>
        </is>
      </c>
      <c r="D1" s="1" t="inlineStr">
        <is>
          <t>身分／職業</t>
        </is>
      </c>
      <c r="E1" s="1" t="inlineStr">
        <is>
          <t>立場</t>
        </is>
      </c>
      <c r="F1" s="1" t="inlineStr">
        <is>
          <t>互動深度</t>
        </is>
      </c>
      <c r="G1" s="1" t="inlineStr">
        <is>
          <t>關鍵台詞／行為</t>
        </is>
      </c>
      <c r="H1" s="1" t="inlineStr">
        <is>
          <t>首次出現場景</t>
        </is>
      </c>
      <c r="I1" s="1" t="inlineStr">
        <is>
          <t>體型</t>
        </is>
      </c>
      <c r="J1" s="1" t="inlineStr">
        <is>
          <t>體積</t>
        </is>
      </c>
      <c r="K1" s="1" t="inlineStr">
        <is>
          <t>力量</t>
        </is>
      </c>
      <c r="L1" s="1" t="inlineStr">
        <is>
          <t>敏捷</t>
        </is>
      </c>
      <c r="M1" s="1" t="inlineStr">
        <is>
          <t>耐力</t>
        </is>
      </c>
      <c r="N1" s="1" t="inlineStr">
        <is>
          <t>智力</t>
        </is>
      </c>
      <c r="O1" s="1" t="inlineStr">
        <is>
          <t>感知</t>
        </is>
      </c>
      <c r="P1" s="1" t="inlineStr">
        <is>
          <t>決心</t>
        </is>
      </c>
      <c r="Q1" s="1" t="inlineStr">
        <is>
          <t>風度</t>
        </is>
      </c>
      <c r="R1" s="1" t="inlineStr">
        <is>
          <t>操控</t>
        </is>
      </c>
      <c r="S1" s="1" t="inlineStr">
        <is>
          <t>沉著</t>
        </is>
      </c>
      <c r="T1" s="1" t="inlineStr">
        <is>
          <t>傳奇力量★</t>
        </is>
      </c>
      <c r="U1" s="1" t="inlineStr">
        <is>
          <t>傳奇敏捷★</t>
        </is>
      </c>
      <c r="V1" s="1" t="inlineStr">
        <is>
          <t>傳奇耐力★</t>
        </is>
      </c>
      <c r="W1" s="1" t="inlineStr">
        <is>
          <t>傳奇智力★</t>
        </is>
      </c>
      <c r="X1" s="1" t="inlineStr">
        <is>
          <t>傳奇感知★</t>
        </is>
      </c>
      <c r="Y1" s="1" t="inlineStr">
        <is>
          <t>傳奇決心★</t>
        </is>
      </c>
      <c r="Z1" s="1" t="inlineStr">
        <is>
          <t>傳奇風度★</t>
        </is>
      </c>
      <c r="AA1" s="1" t="inlineStr">
        <is>
          <t>傳奇操控★</t>
        </is>
      </c>
      <c r="AB1" s="1" t="inlineStr">
        <is>
          <t>傳奇沉著★</t>
        </is>
      </c>
      <c r="AC1" s="1" t="inlineStr">
        <is>
          <t>生命值（HP）★</t>
        </is>
      </c>
      <c r="AD1" s="1" t="inlineStr">
        <is>
          <t>先攻★</t>
        </is>
      </c>
      <c r="AE1" s="1" t="inlineStr">
        <is>
          <t>基礎移動速度★</t>
        </is>
      </c>
      <c r="AF1" s="1" t="inlineStr">
        <is>
          <t>基礎防禦★</t>
        </is>
      </c>
      <c r="AG1" s="1" t="inlineStr">
        <is>
          <t>觸及範圍</t>
        </is>
      </c>
      <c r="AH1" s="1" t="inlineStr">
        <is>
          <t>敏感範圍★</t>
        </is>
      </c>
      <c r="AI1" s="1" t="inlineStr">
        <is>
          <t>技能等級</t>
        </is>
      </c>
      <c r="AJ1" s="1" t="inlineStr">
        <is>
          <t>意志力池★</t>
        </is>
      </c>
      <c r="AK1" s="1" t="inlineStr">
        <is>
          <t>意志豁免</t>
        </is>
      </c>
      <c r="AL1" s="1" t="inlineStr">
        <is>
          <t>反射豁免</t>
        </is>
      </c>
      <c r="AM1" s="1" t="inlineStr">
        <is>
          <t>強韌豁免</t>
        </is>
      </c>
      <c r="AN1" s="1" t="inlineStr">
        <is>
          <t>專長</t>
        </is>
      </c>
      <c r="AO1" s="1" t="inlineStr">
        <is>
          <t>武器／攻擊關鍵詞</t>
        </is>
      </c>
      <c r="AP1" s="1" t="inlineStr">
        <is>
          <t>戰鬥定位</t>
        </is>
      </c>
      <c r="AQ1" s="1" t="inlineStr">
        <is>
          <t>好感度機制</t>
        </is>
      </c>
      <c r="AR1" s="1" t="inlineStr">
        <is>
          <t>若死亡影響</t>
        </is>
      </c>
      <c r="AS1" s="1" t="inlineStr">
        <is>
          <t>備註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>
        <f>INT((K2-1)/5)</f>
        <v/>
      </c>
      <c r="U2" s="2">
        <f>INT((L2-1)/5)</f>
        <v/>
      </c>
      <c r="V2" s="2">
        <f>INT((M2-1)/5)</f>
        <v/>
      </c>
      <c r="W2" s="2">
        <f>INT((N2-1)/5)</f>
        <v/>
      </c>
      <c r="X2" s="2">
        <f>INT((O2-1)/5)</f>
        <v/>
      </c>
      <c r="Y2" s="2">
        <f>INT((P2-1)/5)</f>
        <v/>
      </c>
      <c r="Z2" s="2">
        <f>INT((Q2-1)/5)</f>
        <v/>
      </c>
      <c r="AA2" s="2">
        <f>INT((R2-1)/5)</f>
        <v/>
      </c>
      <c r="AB2" s="2">
        <f>INT((S2-1)/5)</f>
        <v/>
      </c>
      <c r="AC2" s="2">
        <f>M2+IF(I2="中型",5,IF(I2="大型",10,IF(I2="小型",2,IF(I2="微型",1,IF(I2="超大型",17,IF(I2="巨型",26,IF(I2="超巨型",37,5)))))))</f>
        <v/>
      </c>
      <c r="AD2" s="2">
        <f>M2+J2</f>
        <v/>
      </c>
      <c r="AE2" s="2">
        <f>L2+M2+IF(I2="中型",5,IF(I2="大型",5,IF(I2="小型",2,IF(I2="微型",1,IF(I2="超大型",8,IF(I2="巨型",12,IF(I2="超巨型",16,5))))))</f>
        <v/>
      </c>
      <c r="AF2" s="2">
        <f>MIN(M2,O2)</f>
        <v/>
      </c>
      <c r="AG2" s="2" t="n"/>
      <c r="AH2" s="2">
        <f>O2*10</f>
        <v/>
      </c>
      <c r="AI2" s="2" t="n"/>
      <c r="AJ2" s="2">
        <f>P2+J2</f>
        <v/>
      </c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2026-07-20T15:55:31Z</dcterms:created>
  <dcterms:modified xsi:type="dcterms:W3CDTF">2026-08-03T15:43:26Z</dcterms:modified>
</cp:coreProperties>
</file>